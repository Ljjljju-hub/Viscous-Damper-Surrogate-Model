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1\阻尼器-热-液-固\阻尼器建模\"/>
    </mc:Choice>
  </mc:AlternateContent>
  <xr:revisionPtr revIDLastSave="0" documentId="13_ncr:1_{0CD76BD5-BBEC-4C37-B89D-45AAC7C592F1}" xr6:coauthVersionLast="47" xr6:coauthVersionMax="47" xr10:uidLastSave="{00000000-0000-0000-0000-000000000000}"/>
  <bookViews>
    <workbookView xWindow="-28920" yWindow="-120" windowWidth="29040" windowHeight="15840" activeTab="3" xr2:uid="{00000000-000D-0000-FFFF-FFFF00000000}"/>
  </bookViews>
  <sheets>
    <sheet name="硅油" sheetId="1" r:id="rId1"/>
    <sheet name="金属材料" sheetId="4" r:id="rId2"/>
    <sheet name="温度-硅油密度" sheetId="3" r:id="rId3"/>
    <sheet name="温度-硅油动力粘度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2" i="2"/>
  <c r="C3" i="2" l="1"/>
  <c r="C4" i="2"/>
  <c r="C5" i="2"/>
  <c r="C6" i="2"/>
  <c r="C7" i="2"/>
  <c r="C8" i="2"/>
  <c r="C9" i="2"/>
  <c r="C10" i="2"/>
  <c r="C11" i="2"/>
  <c r="C12" i="2"/>
  <c r="C13" i="2"/>
  <c r="C14" i="2"/>
  <c r="C2" i="2"/>
</calcChain>
</file>

<file path=xl/sharedStrings.xml><?xml version="1.0" encoding="utf-8"?>
<sst xmlns="http://schemas.openxmlformats.org/spreadsheetml/2006/main" count="59" uniqueCount="47">
  <si>
    <t>材料</t>
    <phoneticPr fontId="1" type="noConversion"/>
  </si>
  <si>
    <t>粘度温度系数</t>
    <phoneticPr fontId="1" type="noConversion"/>
  </si>
  <si>
    <t>9..2</t>
    <phoneticPr fontId="1" type="noConversion"/>
  </si>
  <si>
    <t>50度导热系数W/(K*m)</t>
    <phoneticPr fontId="1" type="noConversion"/>
  </si>
  <si>
    <t>0-150度热膨胀系数10-4/℃</t>
    <phoneticPr fontId="1" type="noConversion"/>
  </si>
  <si>
    <t>硅油200万</t>
    <phoneticPr fontId="1" type="noConversion"/>
  </si>
  <si>
    <t>25度密度kg/m3</t>
    <phoneticPr fontId="1" type="noConversion"/>
  </si>
  <si>
    <t>25℃运动粘度mm2/s</t>
    <phoneticPr fontId="1" type="noConversion"/>
  </si>
  <si>
    <t>25℃动力粘度Pa*s</t>
    <phoneticPr fontId="1" type="noConversion"/>
  </si>
  <si>
    <t>温度</t>
    <phoneticPr fontId="1" type="noConversion"/>
  </si>
  <si>
    <t>硅油动力粘度/(25摄氏度)</t>
    <phoneticPr fontId="1" type="noConversion"/>
  </si>
  <si>
    <t>热膨胀系数</t>
    <phoneticPr fontId="1" type="noConversion"/>
  </si>
  <si>
    <t>9.2*10-4</t>
    <phoneticPr fontId="1" type="noConversion"/>
  </si>
  <si>
    <t>硅油密度kg/m3</t>
    <phoneticPr fontId="1" type="noConversion"/>
  </si>
  <si>
    <t>动力粘度Pa*s</t>
    <phoneticPr fontId="1" type="noConversion"/>
  </si>
  <si>
    <t>比热容J/(kg·℃)</t>
    <phoneticPr fontId="1" type="noConversion"/>
  </si>
  <si>
    <t>弹性模量Mpa</t>
    <phoneticPr fontId="1" type="noConversion"/>
  </si>
  <si>
    <t>泊松比</t>
    <phoneticPr fontId="1" type="noConversion"/>
  </si>
  <si>
    <t>热导率</t>
    <phoneticPr fontId="1" type="noConversion"/>
  </si>
  <si>
    <t>密度</t>
    <phoneticPr fontId="1" type="noConversion"/>
  </si>
  <si>
    <t>弹性模量</t>
    <phoneticPr fontId="1" type="noConversion"/>
  </si>
  <si>
    <t>7850 kg/m³</t>
  </si>
  <si>
    <t>210 GPa</t>
  </si>
  <si>
    <t>部件</t>
    <phoneticPr fontId="1" type="noConversion"/>
  </si>
  <si>
    <t>活塞</t>
    <phoneticPr fontId="1" type="noConversion"/>
  </si>
  <si>
    <t>活塞杆</t>
    <phoneticPr fontId="1" type="noConversion"/>
  </si>
  <si>
    <t>40Cr</t>
    <phoneticPr fontId="1" type="noConversion"/>
  </si>
  <si>
    <t>42CrMo</t>
    <phoneticPr fontId="1" type="noConversion"/>
  </si>
  <si>
    <t>190 GPa</t>
    <phoneticPr fontId="1" type="noConversion"/>
  </si>
  <si>
    <t>11 x 10^-6 /°C</t>
    <phoneticPr fontId="1" type="noConversion"/>
  </si>
  <si>
    <t>11.3 x 10^-6 /°C</t>
    <phoneticPr fontId="1" type="noConversion"/>
  </si>
  <si>
    <t>7850 kg/m³</t>
    <phoneticPr fontId="1" type="noConversion"/>
  </si>
  <si>
    <t>缸盖</t>
    <phoneticPr fontId="1" type="noConversion"/>
  </si>
  <si>
    <t>27SiMn</t>
    <phoneticPr fontId="1" type="noConversion"/>
  </si>
  <si>
    <t>210GPa</t>
    <phoneticPr fontId="1" type="noConversion"/>
  </si>
  <si>
    <t>缸筒</t>
    <phoneticPr fontId="1" type="noConversion"/>
  </si>
  <si>
    <t>45#钢</t>
    <phoneticPr fontId="1" type="noConversion"/>
  </si>
  <si>
    <t>33.3 W/(m·°C)</t>
    <phoneticPr fontId="1" type="noConversion"/>
  </si>
  <si>
    <t>46 W/(m·°C)</t>
    <phoneticPr fontId="1" type="noConversion"/>
  </si>
  <si>
    <t>45 W/(m·°C)</t>
    <phoneticPr fontId="1" type="noConversion"/>
  </si>
  <si>
    <t>比热容</t>
    <phoneticPr fontId="1" type="noConversion"/>
  </si>
  <si>
    <t>460 J/(kg·°C)</t>
    <phoneticPr fontId="1" type="noConversion"/>
  </si>
  <si>
    <t>470 J/(kg·°C)</t>
    <phoneticPr fontId="1" type="noConversion"/>
  </si>
  <si>
    <t>500 J/(kg·°C)</t>
    <phoneticPr fontId="1" type="noConversion"/>
  </si>
  <si>
    <t>×1</t>
    <phoneticPr fontId="1" type="noConversion"/>
  </si>
  <si>
    <t>×e6</t>
    <phoneticPr fontId="1" type="noConversion"/>
  </si>
  <si>
    <t>×1000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</si>
</sst>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A20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B2" sqref="B2"/>
    </sheetView>
  </sheetViews>
  <sheetFormatPr defaultRowHeight="14.25" x14ac:dyDescent="0.2"/>
  <cols>
    <col min="1" max="1" width="11.375" customWidth="1"/>
    <col min="2" max="2" width="22.25" customWidth="1"/>
    <col min="3" max="3" width="18.75" customWidth="1"/>
    <col min="4" max="4" width="17.875" customWidth="1"/>
    <col min="5" max="5" width="15.375" customWidth="1"/>
    <col min="6" max="6" width="24.125" customWidth="1"/>
    <col min="7" max="7" width="20.5" customWidth="1"/>
    <col min="8" max="8" width="14.5" customWidth="1"/>
    <col min="9" max="9" width="13.625" customWidth="1"/>
  </cols>
  <sheetData>
    <row r="1" spans="1:10" x14ac:dyDescent="0.2">
      <c r="A1" t="s">
        <v>0</v>
      </c>
      <c r="B1" t="s">
        <v>7</v>
      </c>
      <c r="C1" t="s">
        <v>8</v>
      </c>
      <c r="D1" t="s">
        <v>1</v>
      </c>
      <c r="E1" t="s">
        <v>6</v>
      </c>
      <c r="F1" t="s">
        <v>4</v>
      </c>
      <c r="G1" t="s">
        <v>3</v>
      </c>
      <c r="H1" t="s">
        <v>15</v>
      </c>
      <c r="I1" t="s">
        <v>16</v>
      </c>
      <c r="J1" t="s">
        <v>17</v>
      </c>
    </row>
    <row r="2" spans="1:10" x14ac:dyDescent="0.2">
      <c r="A2" t="s">
        <v>5</v>
      </c>
      <c r="B2">
        <v>2</v>
      </c>
      <c r="C2">
        <v>1940</v>
      </c>
      <c r="D2">
        <v>0.6</v>
      </c>
      <c r="E2">
        <v>970</v>
      </c>
      <c r="F2" t="s">
        <v>2</v>
      </c>
      <c r="G2">
        <v>0.15</v>
      </c>
      <c r="H2">
        <v>1550</v>
      </c>
      <c r="I2">
        <v>5</v>
      </c>
      <c r="J2">
        <v>0.3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C274-DC34-40AA-9C9B-4FF6F1E7C8AA}">
  <dimension ref="A1:H7"/>
  <sheetViews>
    <sheetView workbookViewId="0">
      <selection activeCell="F11" sqref="F11"/>
    </sheetView>
  </sheetViews>
  <sheetFormatPr defaultRowHeight="14.25" x14ac:dyDescent="0.2"/>
  <cols>
    <col min="1" max="1" width="12.5" customWidth="1"/>
    <col min="2" max="2" width="14.375" customWidth="1"/>
    <col min="3" max="3" width="14.125" customWidth="1"/>
    <col min="6" max="6" width="15.125" customWidth="1"/>
    <col min="7" max="7" width="15.875" customWidth="1"/>
    <col min="8" max="8" width="13.5" customWidth="1"/>
  </cols>
  <sheetData>
    <row r="1" spans="1:8" x14ac:dyDescent="0.2">
      <c r="A1" t="s">
        <v>23</v>
      </c>
      <c r="B1" t="s">
        <v>0</v>
      </c>
      <c r="C1" t="s">
        <v>19</v>
      </c>
      <c r="D1" t="s">
        <v>20</v>
      </c>
      <c r="E1" t="s">
        <v>17</v>
      </c>
      <c r="F1" t="s">
        <v>18</v>
      </c>
      <c r="G1" t="s">
        <v>11</v>
      </c>
      <c r="H1" t="s">
        <v>40</v>
      </c>
    </row>
    <row r="2" spans="1:8" ht="16.5" x14ac:dyDescent="0.3">
      <c r="A2" t="s">
        <v>24</v>
      </c>
      <c r="B2" t="s">
        <v>26</v>
      </c>
      <c r="C2" s="1" t="s">
        <v>31</v>
      </c>
      <c r="D2" s="1" t="s">
        <v>22</v>
      </c>
      <c r="E2">
        <v>0.24</v>
      </c>
      <c r="F2" s="1" t="s">
        <v>37</v>
      </c>
      <c r="G2" t="s">
        <v>30</v>
      </c>
      <c r="H2" s="1" t="s">
        <v>41</v>
      </c>
    </row>
    <row r="3" spans="1:8" ht="16.5" x14ac:dyDescent="0.3">
      <c r="A3" t="s">
        <v>25</v>
      </c>
      <c r="B3" t="s">
        <v>27</v>
      </c>
      <c r="C3" s="1" t="s">
        <v>21</v>
      </c>
      <c r="D3" s="1" t="s">
        <v>28</v>
      </c>
      <c r="E3">
        <v>0.28999999999999998</v>
      </c>
      <c r="F3" s="1" t="s">
        <v>38</v>
      </c>
      <c r="G3" t="s">
        <v>29</v>
      </c>
      <c r="H3" s="1" t="s">
        <v>42</v>
      </c>
    </row>
    <row r="4" spans="1:8" ht="16.5" x14ac:dyDescent="0.3">
      <c r="A4" t="s">
        <v>35</v>
      </c>
      <c r="B4" t="s">
        <v>33</v>
      </c>
      <c r="C4" s="1" t="s">
        <v>21</v>
      </c>
      <c r="D4" t="s">
        <v>34</v>
      </c>
      <c r="E4">
        <v>0.3</v>
      </c>
      <c r="F4" s="1" t="s">
        <v>39</v>
      </c>
      <c r="G4" t="s">
        <v>30</v>
      </c>
      <c r="H4" s="1" t="s">
        <v>43</v>
      </c>
    </row>
    <row r="5" spans="1:8" ht="16.5" x14ac:dyDescent="0.3">
      <c r="A5" t="s">
        <v>32</v>
      </c>
      <c r="B5" t="s">
        <v>36</v>
      </c>
      <c r="C5" s="1" t="s">
        <v>21</v>
      </c>
      <c r="D5" t="s">
        <v>34</v>
      </c>
      <c r="E5">
        <v>0.3</v>
      </c>
      <c r="F5" s="1" t="s">
        <v>39</v>
      </c>
      <c r="G5" t="s">
        <v>30</v>
      </c>
      <c r="H5" s="1" t="s">
        <v>43</v>
      </c>
    </row>
    <row r="7" spans="1:8" ht="16.5" x14ac:dyDescent="0.3">
      <c r="C7" s="2">
        <v>7.8500000000000008E-9</v>
      </c>
      <c r="D7" s="1" t="s">
        <v>46</v>
      </c>
      <c r="F7" s="1" t="s">
        <v>44</v>
      </c>
      <c r="G7" s="1" t="s">
        <v>44</v>
      </c>
      <c r="H7" s="1" t="s">
        <v>45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8450-3133-4F10-9F7B-E563A5CD3559}">
  <dimension ref="A1:C8"/>
  <sheetViews>
    <sheetView workbookViewId="0">
      <selection activeCell="G8" sqref="G8"/>
    </sheetView>
  </sheetViews>
  <sheetFormatPr defaultRowHeight="14.25" x14ac:dyDescent="0.2"/>
  <cols>
    <col min="2" max="2" width="21.875" customWidth="1"/>
  </cols>
  <sheetData>
    <row r="1" spans="1:3" x14ac:dyDescent="0.2">
      <c r="A1" t="s">
        <v>9</v>
      </c>
      <c r="B1" t="s">
        <v>13</v>
      </c>
      <c r="C1" t="s">
        <v>11</v>
      </c>
    </row>
    <row r="2" spans="1:3" x14ac:dyDescent="0.2">
      <c r="A2">
        <v>0</v>
      </c>
      <c r="B2">
        <v>992.84</v>
      </c>
      <c r="C2" t="s">
        <v>12</v>
      </c>
    </row>
    <row r="3" spans="1:3" x14ac:dyDescent="0.2">
      <c r="A3">
        <v>25</v>
      </c>
      <c r="B3">
        <v>970</v>
      </c>
    </row>
    <row r="4" spans="1:3" x14ac:dyDescent="0.2">
      <c r="A4">
        <v>50</v>
      </c>
      <c r="B4">
        <v>948.19</v>
      </c>
    </row>
    <row r="5" spans="1:3" x14ac:dyDescent="0.2">
      <c r="A5">
        <v>75</v>
      </c>
      <c r="B5">
        <v>927.34</v>
      </c>
    </row>
    <row r="6" spans="1:3" x14ac:dyDescent="0.2">
      <c r="A6">
        <v>100</v>
      </c>
      <c r="B6">
        <v>907.39</v>
      </c>
    </row>
    <row r="7" spans="1:3" x14ac:dyDescent="0.2">
      <c r="A7">
        <v>125</v>
      </c>
      <c r="B7">
        <v>888.28</v>
      </c>
    </row>
    <row r="8" spans="1:3" x14ac:dyDescent="0.2">
      <c r="A8">
        <v>150</v>
      </c>
      <c r="B8">
        <v>869.96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4F7BA-0495-4634-88F5-EA3710D4552F}">
  <dimension ref="A1:D14"/>
  <sheetViews>
    <sheetView tabSelected="1" workbookViewId="0">
      <selection activeCell="D2" sqref="D2:D14"/>
    </sheetView>
  </sheetViews>
  <sheetFormatPr defaultRowHeight="14.25" x14ac:dyDescent="0.2"/>
  <cols>
    <col min="1" max="1" width="11" customWidth="1"/>
    <col min="2" max="2" width="21.875" customWidth="1"/>
    <col min="3" max="3" width="14.875" customWidth="1"/>
  </cols>
  <sheetData>
    <row r="1" spans="1:4" x14ac:dyDescent="0.2">
      <c r="A1" t="s">
        <v>9</v>
      </c>
      <c r="B1" t="s">
        <v>10</v>
      </c>
      <c r="C1" t="s">
        <v>14</v>
      </c>
    </row>
    <row r="2" spans="1:4" x14ac:dyDescent="0.2">
      <c r="A2">
        <v>-5.4846500000000002</v>
      </c>
      <c r="B2">
        <v>2</v>
      </c>
      <c r="C2">
        <f>B2*1940</f>
        <v>3880</v>
      </c>
      <c r="D2">
        <f>C2*10^-6</f>
        <v>3.8799999999999998E-3</v>
      </c>
    </row>
    <row r="3" spans="1:4" x14ac:dyDescent="0.2">
      <c r="A3">
        <v>24.966719999999999</v>
      </c>
      <c r="B3">
        <v>1</v>
      </c>
      <c r="C3">
        <f t="shared" ref="C3:C6" si="0">B3*1940</f>
        <v>1940</v>
      </c>
      <c r="D3">
        <f t="shared" ref="D3:D14" si="1">C3*10^-6</f>
        <v>1.9399999999999999E-3</v>
      </c>
    </row>
    <row r="4" spans="1:4" x14ac:dyDescent="0.2">
      <c r="A4">
        <v>30.894459999999999</v>
      </c>
      <c r="B4">
        <v>0.9</v>
      </c>
      <c r="C4">
        <f t="shared" si="0"/>
        <v>1746</v>
      </c>
      <c r="D4">
        <f t="shared" si="1"/>
        <v>1.7459999999999999E-3</v>
      </c>
    </row>
    <row r="5" spans="1:4" x14ac:dyDescent="0.2">
      <c r="A5">
        <v>37.348050000000001</v>
      </c>
      <c r="B5">
        <v>0.8</v>
      </c>
      <c r="C5">
        <f t="shared" si="0"/>
        <v>1552</v>
      </c>
      <c r="D5">
        <f t="shared" si="1"/>
        <v>1.552E-3</v>
      </c>
    </row>
    <row r="6" spans="1:4" x14ac:dyDescent="0.2">
      <c r="A6">
        <v>44.662109999999998</v>
      </c>
      <c r="B6">
        <v>0.7</v>
      </c>
      <c r="C6">
        <f t="shared" si="0"/>
        <v>1358</v>
      </c>
      <c r="D6">
        <f t="shared" si="1"/>
        <v>1.3579999999999998E-3</v>
      </c>
    </row>
    <row r="7" spans="1:4" x14ac:dyDescent="0.2">
      <c r="A7">
        <v>53.553719999999998</v>
      </c>
      <c r="B7">
        <v>0.6</v>
      </c>
      <c r="C7">
        <f t="shared" ref="C7:C14" si="2">B7*1940</f>
        <v>1164</v>
      </c>
      <c r="D7">
        <f t="shared" si="1"/>
        <v>1.1639999999999999E-3</v>
      </c>
    </row>
    <row r="8" spans="1:4" x14ac:dyDescent="0.2">
      <c r="A8">
        <v>65.935050000000004</v>
      </c>
      <c r="B8">
        <v>0.5</v>
      </c>
      <c r="C8">
        <f t="shared" si="2"/>
        <v>970</v>
      </c>
      <c r="D8">
        <f t="shared" si="1"/>
        <v>9.6999999999999994E-4</v>
      </c>
    </row>
    <row r="9" spans="1:4" x14ac:dyDescent="0.2">
      <c r="A9">
        <v>81.567080000000004</v>
      </c>
      <c r="B9">
        <v>0.4</v>
      </c>
      <c r="C9">
        <f t="shared" si="2"/>
        <v>776</v>
      </c>
      <c r="D9">
        <f t="shared" si="1"/>
        <v>7.76E-4</v>
      </c>
    </row>
    <row r="10" spans="1:4" x14ac:dyDescent="0.2">
      <c r="A10">
        <v>103.70049</v>
      </c>
      <c r="B10">
        <v>0.3</v>
      </c>
      <c r="C10">
        <f t="shared" si="2"/>
        <v>582</v>
      </c>
      <c r="D10">
        <f t="shared" si="1"/>
        <v>5.8199999999999994E-4</v>
      </c>
    </row>
    <row r="11" spans="1:4" x14ac:dyDescent="0.2">
      <c r="A11">
        <v>138.74108000000001</v>
      </c>
      <c r="B11">
        <v>0.2</v>
      </c>
      <c r="C11">
        <f t="shared" si="2"/>
        <v>388</v>
      </c>
      <c r="D11">
        <f t="shared" si="1"/>
        <v>3.88E-4</v>
      </c>
    </row>
    <row r="12" spans="1:4" x14ac:dyDescent="0.2">
      <c r="A12">
        <v>209.92176000000001</v>
      </c>
      <c r="B12">
        <v>0.1</v>
      </c>
      <c r="C12">
        <f t="shared" si="2"/>
        <v>194</v>
      </c>
      <c r="D12">
        <f t="shared" si="1"/>
        <v>1.94E-4</v>
      </c>
    </row>
    <row r="13" spans="1:4" x14ac:dyDescent="0.2">
      <c r="A13">
        <v>221.25139999999999</v>
      </c>
      <c r="B13">
        <v>0.09</v>
      </c>
      <c r="C13">
        <f t="shared" si="2"/>
        <v>174.6</v>
      </c>
      <c r="D13">
        <f t="shared" si="1"/>
        <v>1.7459999999999999E-4</v>
      </c>
    </row>
    <row r="14" spans="1:4" x14ac:dyDescent="0.2">
      <c r="A14">
        <v>235.83171999999999</v>
      </c>
      <c r="B14">
        <v>0.08</v>
      </c>
      <c r="C14">
        <f t="shared" si="2"/>
        <v>155.20000000000002</v>
      </c>
      <c r="D14">
        <f t="shared" si="1"/>
        <v>1.552E-4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硅油</vt:lpstr>
      <vt:lpstr>金属材料</vt:lpstr>
      <vt:lpstr>温度-硅油密度</vt:lpstr>
      <vt:lpstr>温度-硅油动力粘度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402</dc:creator>
  <cp:lastModifiedBy>JJ L</cp:lastModifiedBy>
  <dcterms:created xsi:type="dcterms:W3CDTF">2015-06-05T18:19:34Z</dcterms:created>
  <dcterms:modified xsi:type="dcterms:W3CDTF">2024-12-05T05:17:57Z</dcterms:modified>
</cp:coreProperties>
</file>